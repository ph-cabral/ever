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8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MDM (Mobile Device Management)" sheetId="2" state="visible" r:id="rId4"/>
    <sheet name="Servidor" sheetId="3" state="visible" r:id="rId5"/>
    <sheet name="RAM y Procesadores" sheetId="4" state="visible" r:id="rId6"/>
    <sheet name="Notebooks" sheetId="5" state="visible" r:id="rId7"/>
    <sheet name="Impresoras" sheetId="6" state="visible" r:id="rId8"/>
    <sheet name="Actualización de PCs (component" sheetId="7" state="visible" r:id="rId9"/>
    <sheet name="Cables" sheetId="8" state="visible" r:id="rId10"/>
    <sheet name="Contingencia - Emergencia" sheetId="9" state="visible" r:id="rId11"/>
    <sheet name="Gráfico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<sst xmlns="http://schemas.openxmlformats.org/spreadsheetml/2006/main" count="165" uniqueCount="48">
  <si>
    <t xml:space="preserve">Presupuesto IT / Infraestructura 2026 — Everwear</t>
  </si>
  <si>
    <t xml:space="preserve">Vista principal — el detalle de cada ítem está en su hoja de categoría</t>
  </si>
  <si>
    <t xml:space="preserve">Categoría</t>
  </si>
  <si>
    <t xml:space="preserve">Total (ARS)</t>
  </si>
  <si>
    <t xml:space="preserve">MDM (Mobile Device Management)</t>
  </si>
  <si>
    <t xml:space="preserve">Servidor</t>
  </si>
  <si>
    <t xml:space="preserve">RAM y Procesadores</t>
  </si>
  <si>
    <t xml:space="preserve">Notebooks</t>
  </si>
  <si>
    <t xml:space="preserve">Impresoras</t>
  </si>
  <si>
    <t xml:space="preserve">Actualización de PCs (component</t>
  </si>
  <si>
    <t xml:space="preserve">Cables</t>
  </si>
  <si>
    <t xml:space="preserve">Contingencia - Emergencia</t>
  </si>
  <si>
    <t xml:space="preserve">TOTAL GENERAL</t>
  </si>
  <si>
    <t xml:space="preserve">Resumen por Prioridad</t>
  </si>
  <si>
    <t xml:space="preserve">Prioridad</t>
  </si>
  <si>
    <t xml:space="preserve">Alta</t>
  </si>
  <si>
    <t xml:space="preserve">Media</t>
  </si>
  <si>
    <t xml:space="preserve">Baja</t>
  </si>
  <si>
    <t xml:space="preserve">Resumen por Estado</t>
  </si>
  <si>
    <t xml:space="preserve">Estado</t>
  </si>
  <si>
    <t xml:space="preserve">Pendiente</t>
  </si>
  <si>
    <t xml:space="preserve">Cotizado</t>
  </si>
  <si>
    <t xml:space="preserve">Aprobado</t>
  </si>
  <si>
    <t xml:space="preserve">Comprado</t>
  </si>
  <si>
    <t xml:space="preserve">Cancelado</t>
  </si>
  <si>
    <t xml:space="preserve">Completar celdas azules. Agregá filas dentro de la tabla y las fórmulas/totales se ajustan solos.</t>
  </si>
  <si>
    <t xml:space="preserve">Detalle / Ítem</t>
  </si>
  <si>
    <t xml:space="preserve">Proveedor 1</t>
  </si>
  <si>
    <t xml:space="preserve">Precio 1</t>
  </si>
  <si>
    <t xml:space="preserve">Proveedor 2</t>
  </si>
  <si>
    <t xml:space="preserve">Precio 2</t>
  </si>
  <si>
    <t xml:space="preserve">Proveedor 3</t>
  </si>
  <si>
    <t xml:space="preserve">Precio 3</t>
  </si>
  <si>
    <t xml:space="preserve">Proveedor Elegido</t>
  </si>
  <si>
    <t xml:space="preserve">Cantidad</t>
  </si>
  <si>
    <t xml:space="preserve">Precio Unitario Elegido</t>
  </si>
  <si>
    <t xml:space="preserve">Total</t>
  </si>
  <si>
    <t xml:space="preserve">Notas</t>
  </si>
  <si>
    <t xml:space="preserve">Licencia app MDM control de celulares</t>
  </si>
  <si>
    <t xml:space="preserve">Actualización / upgrade de servidor</t>
  </si>
  <si>
    <t xml:space="preserve">Memoria RAM</t>
  </si>
  <si>
    <t xml:space="preserve">Procesador</t>
  </si>
  <si>
    <t xml:space="preserve">Notebook</t>
  </si>
  <si>
    <t xml:space="preserve">Impresora</t>
  </si>
  <si>
    <t xml:space="preserve">Componente (disco/SSD/fuente/etc.)</t>
  </si>
  <si>
    <t xml:space="preserve">Cables varios (red, alimentación, video)</t>
  </si>
  <si>
    <t xml:space="preserve">Colchón para caso de emergencia (imprevistos)</t>
  </si>
  <si>
    <t xml:space="preserve">Gráficos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</si>
</sst>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FBFBF"/>
      <rgbColor rgb="FF808080"/>
      <rgbColor rgb="FF93A9CE"/>
      <rgbColor rgb="FFAB4744"/>
      <rgbColor rgb="FFFFFFCC"/>
      <rgbColor rgb="FFCCFFFF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D09493"/>
      <rgbColor rgb="FFCC99FF"/>
      <rgbColor rgb="FFFFCC99"/>
      <rgbColor rgb="FF4672A8"/>
      <rgbColor rgb="FF33CCCC"/>
      <rgbColor rgb="FF99CC00"/>
      <rgbColor rgb="FFFFCC00"/>
      <rgbColor rgb="FFFF9900"/>
      <rgbColor rgb="FFFF6600"/>
      <rgbColor rgb="FF725990"/>
      <rgbColor rgb="FF878787"/>
      <rgbColor rgb="FF003366"/>
      <rgbColor rgb="FF4299B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Distribución del presupuesto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1260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1260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1260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1260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1260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1260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1260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Resumen!$A$5:$A$12</c:f>
              <c:strCache>
                <c:ptCount val="8"/>
                <c:pt idx="0">
                  <c:v>MDM (Mobile Device Management)</c:v>
                </c:pt>
                <c:pt idx="1">
                  <c:v>Servidor</c:v>
                </c:pt>
                <c:pt idx="2">
                  <c:v>RAM y Procesadores</c:v>
                </c:pt>
                <c:pt idx="3">
                  <c:v>Notebooks</c:v>
                </c:pt>
                <c:pt idx="4">
                  <c:v>Impresoras</c:v>
                </c:pt>
                <c:pt idx="5">
                  <c:v>Actualización de PCs (component</c:v>
                </c:pt>
                <c:pt idx="6">
                  <c:v>Cables</c:v>
                </c:pt>
                <c:pt idx="7">
                  <c:v>Contingencia - Emergencia</c:v>
                </c:pt>
              </c:strCache>
            </c:strRef>
          </c:cat>
          <c:val>
            <c:numRef>
              <c:f>Resumen!$B$5:$B$12</c:f>
              <c:numCache>
                <c:formatCode>\$#,##0;"($"#,##0\);\-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Presupuesto por Prioridad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Resumen!$A$19:$A$21</c:f>
              <c:strCache>
                <c:ptCount val="3"/>
                <c:pt idx="0">
                  <c:v>Alta</c:v>
                </c:pt>
                <c:pt idx="1">
                  <c:v>Media</c:v>
                </c:pt>
                <c:pt idx="2">
                  <c:v>Baja</c:v>
                </c:pt>
              </c:strCache>
            </c:strRef>
          </c:cat>
          <c:val>
            <c:numRef>
              <c:f>Resumen!$B$19:$B$21</c:f>
              <c:numCache>
                <c:formatCode>\$#,##0;"($"#,##0\);\-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9639694"/>
        <c:axId val="50626689"/>
      </c:barChart>
      <c:catAx>
        <c:axId val="96396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626689"/>
        <c:crosses val="autoZero"/>
        <c:auto val="1"/>
        <c:lblAlgn val="ctr"/>
        <c:lblOffset val="100"/>
        <c:noMultiLvlLbl val="0"/>
      </c:catAx>
      <c:valAx>
        <c:axId val="5062668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3969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Presupuesto por Estado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Resumen!$A$25:$A$29</c:f>
              <c:strCache>
                <c:ptCount val="5"/>
                <c:pt idx="0">
                  <c:v>Pendiente</c:v>
                </c:pt>
                <c:pt idx="1">
                  <c:v>Cotizado</c:v>
                </c:pt>
                <c:pt idx="2">
                  <c:v>Aprobado</c:v>
                </c:pt>
                <c:pt idx="3">
                  <c:v>Comprado</c:v>
                </c:pt>
                <c:pt idx="4">
                  <c:v>Cancelado</c:v>
                </c:pt>
              </c:strCache>
            </c:strRef>
          </c:cat>
          <c:val>
            <c:numRef>
              <c:f>Resumen!$B$25:$B$29</c:f>
              <c:numCache>
                <c:formatCode>\$#,##0;"($"#,##0\);\-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gapWidth val="150"/>
        <c:overlap val="0"/>
        <c:axId val="77479182"/>
        <c:axId val="50184862"/>
      </c:barChart>
      <c:catAx>
        <c:axId val="774791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0184862"/>
        <c:crosses val="autoZero"/>
        <c:auto val="1"/>
        <c:lblAlgn val="ctr"/>
        <c:lblOffset val="100"/>
        <c:noMultiLvlLbl val="0"/>
      </c:catAx>
      <c:valAx>
        <c:axId val="5018486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;&quot;($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7479182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9</xdr:col>
      <xdr:colOff>255960</xdr:colOff>
      <xdr:row>20</xdr:row>
      <xdr:rowOff>170640</xdr:rowOff>
    </xdr:to>
    <xdr:graphicFrame>
      <xdr:nvGraphicFramePr>
        <xdr:cNvPr id="1" name="Chart 1"/>
        <xdr:cNvGraphicFramePr/>
      </xdr:nvGraphicFramePr>
      <xdr:xfrm>
        <a:off x="0" y="44064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21</xdr:row>
      <xdr:rowOff>0</xdr:rowOff>
    </xdr:from>
    <xdr:to>
      <xdr:col>9</xdr:col>
      <xdr:colOff>255960</xdr:colOff>
      <xdr:row>39</xdr:row>
      <xdr:rowOff>170640</xdr:rowOff>
    </xdr:to>
    <xdr:graphicFrame>
      <xdr:nvGraphicFramePr>
        <xdr:cNvPr id="2" name="Chart 2"/>
        <xdr:cNvGraphicFramePr/>
      </xdr:nvGraphicFramePr>
      <xdr:xfrm>
        <a:off x="0" y="406008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11</xdr:col>
      <xdr:colOff>0</xdr:colOff>
      <xdr:row>2</xdr:row>
      <xdr:rowOff>0</xdr:rowOff>
    </xdr:from>
    <xdr:to>
      <xdr:col>20</xdr:col>
      <xdr:colOff>255960</xdr:colOff>
      <xdr:row>20</xdr:row>
      <xdr:rowOff>170640</xdr:rowOff>
    </xdr:to>
    <xdr:graphicFrame>
      <xdr:nvGraphicFramePr>
        <xdr:cNvPr id="3" name="Chart 3"/>
        <xdr:cNvGraphicFramePr/>
      </xdr:nvGraphicFramePr>
      <xdr:xfrm>
        <a:off x="6726600" y="44064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Actualizacion_PCs" displayName="Actualizacion_PCs" ref="A3:N6" headerRowCount="1" totalsRowCount="0" totalsRowShown="0">
  <autoFilter ref="A3:N6"/>
  <tableColumns count="14">
    <tableColumn id="1" name="Detalle / Ítem"/>
    <tableColumn id="2" name="Prioridad"/>
    <tableColumn id="3" name="Proveedor 1"/>
    <tableColumn id="4" name="Precio 1"/>
    <tableColumn id="5" name="Proveedor 2"/>
    <tableColumn id="6" name="Precio 2"/>
    <tableColumn id="7" name="Proveedor 3"/>
    <tableColumn id="8" name="Precio 3"/>
    <tableColumn id="9" name="Proveedor Elegido"/>
    <tableColumn id="10" name="Cantidad"/>
    <tableColumn id="11" name="Precio Unitario Elegido"/>
    <tableColumn id="12" name="Total"/>
    <tableColumn id="13" name="Estado"/>
    <tableColumn id="14" name="Notas"/>
  </tableColumns>
</table>
</file>

<file path=xl/tables/table2.xml><?xml version="1.0" encoding="utf-8"?>
<table xmlns="http://schemas.openxmlformats.org/spreadsheetml/2006/main" id="2" name="Cables" displayName="Cables" ref="A3:N6" headerRowCount="1" totalsRowCount="0" totalsRowShown="0">
  <autoFilter ref="A3:N6"/>
  <tableColumns count="14">
    <tableColumn id="1" name="Detalle / Ítem"/>
    <tableColumn id="2" name="Prioridad"/>
    <tableColumn id="3" name="Proveedor 1"/>
    <tableColumn id="4" name="Precio 1"/>
    <tableColumn id="5" name="Proveedor 2"/>
    <tableColumn id="6" name="Precio 2"/>
    <tableColumn id="7" name="Proveedor 3"/>
    <tableColumn id="8" name="Precio 3"/>
    <tableColumn id="9" name="Proveedor Elegido"/>
    <tableColumn id="10" name="Cantidad"/>
    <tableColumn id="11" name="Precio Unitario Elegido"/>
    <tableColumn id="12" name="Total"/>
    <tableColumn id="13" name="Estado"/>
    <tableColumn id="14" name="Notas"/>
  </tableColumns>
</table>
</file>

<file path=xl/tables/table3.xml><?xml version="1.0" encoding="utf-8"?>
<table xmlns="http://schemas.openxmlformats.org/spreadsheetml/2006/main" id="3" name="Contingencia" displayName="Contingencia" ref="A3:N6" headerRowCount="1" totalsRowCount="0" totalsRowShown="0">
  <autoFilter ref="A3:N6"/>
  <tableColumns count="14">
    <tableColumn id="1" name="Detalle / Ítem"/>
    <tableColumn id="2" name="Prioridad"/>
    <tableColumn id="3" name="Proveedor 1"/>
    <tableColumn id="4" name="Precio 1"/>
    <tableColumn id="5" name="Proveedor 2"/>
    <tableColumn id="6" name="Precio 2"/>
    <tableColumn id="7" name="Proveedor 3"/>
    <tableColumn id="8" name="Precio 3"/>
    <tableColumn id="9" name="Proveedor Elegido"/>
    <tableColumn id="10" name="Cantidad"/>
    <tableColumn id="11" name="Precio Unitario Elegido"/>
    <tableColumn id="12" name="Total"/>
    <tableColumn id="13" name="Estado"/>
    <tableColumn id="14" name="Notas"/>
  </tableColumns>
</table>
</file>

<file path=xl/tables/table4.xml><?xml version="1.0" encoding="utf-8"?>
<table xmlns="http://schemas.openxmlformats.org/spreadsheetml/2006/main" id="4" name="Impresoras" displayName="Impresoras" ref="A3:N6" headerRowCount="1" totalsRowCount="0" totalsRowShown="0">
  <autoFilter ref="A3:N6"/>
  <tableColumns count="14">
    <tableColumn id="1" name="Detalle / Ítem"/>
    <tableColumn id="2" name="Prioridad"/>
    <tableColumn id="3" name="Proveedor 1"/>
    <tableColumn id="4" name="Precio 1"/>
    <tableColumn id="5" name="Proveedor 2"/>
    <tableColumn id="6" name="Precio 2"/>
    <tableColumn id="7" name="Proveedor 3"/>
    <tableColumn id="8" name="Precio 3"/>
    <tableColumn id="9" name="Proveedor Elegido"/>
    <tableColumn id="10" name="Cantidad"/>
    <tableColumn id="11" name="Precio Unitario Elegido"/>
    <tableColumn id="12" name="Total"/>
    <tableColumn id="13" name="Estado"/>
    <tableColumn id="14" name="Notas"/>
  </tableColumns>
</table>
</file>

<file path=xl/tables/table5.xml><?xml version="1.0" encoding="utf-8"?>
<table xmlns="http://schemas.openxmlformats.org/spreadsheetml/2006/main" id="5" name="MDM" displayName="MDM" ref="A3:N6" headerRowCount="1" totalsRowCount="0" totalsRowShown="0">
  <autoFilter ref="A3:N6"/>
  <tableColumns count="14">
    <tableColumn id="1" name="Detalle / Ítem"/>
    <tableColumn id="2" name="Prioridad"/>
    <tableColumn id="3" name="Proveedor 1"/>
    <tableColumn id="4" name="Precio 1"/>
    <tableColumn id="5" name="Proveedor 2"/>
    <tableColumn id="6" name="Precio 2"/>
    <tableColumn id="7" name="Proveedor 3"/>
    <tableColumn id="8" name="Precio 3"/>
    <tableColumn id="9" name="Proveedor Elegido"/>
    <tableColumn id="10" name="Cantidad"/>
    <tableColumn id="11" name="Precio Unitario Elegido"/>
    <tableColumn id="12" name="Total"/>
    <tableColumn id="13" name="Estado"/>
    <tableColumn id="14" name="Notas"/>
  </tableColumns>
</table>
</file>

<file path=xl/tables/table6.xml><?xml version="1.0" encoding="utf-8"?>
<table xmlns="http://schemas.openxmlformats.org/spreadsheetml/2006/main" id="6" name="Notebooks" displayName="Notebooks" ref="A3:N6" headerRowCount="1" totalsRowCount="0" totalsRowShown="0">
  <autoFilter ref="A3:N6"/>
  <tableColumns count="14">
    <tableColumn id="1" name="Detalle / Ítem"/>
    <tableColumn id="2" name="Prioridad"/>
    <tableColumn id="3" name="Proveedor 1"/>
    <tableColumn id="4" name="Precio 1"/>
    <tableColumn id="5" name="Proveedor 2"/>
    <tableColumn id="6" name="Precio 2"/>
    <tableColumn id="7" name="Proveedor 3"/>
    <tableColumn id="8" name="Precio 3"/>
    <tableColumn id="9" name="Proveedor Elegido"/>
    <tableColumn id="10" name="Cantidad"/>
    <tableColumn id="11" name="Precio Unitario Elegido"/>
    <tableColumn id="12" name="Total"/>
    <tableColumn id="13" name="Estado"/>
    <tableColumn id="14" name="Notas"/>
  </tableColumns>
</table>
</file>

<file path=xl/tables/table7.xml><?xml version="1.0" encoding="utf-8"?>
<table xmlns="http://schemas.openxmlformats.org/spreadsheetml/2006/main" id="7" name="RAM_Procesadores" displayName="RAM_Procesadores" ref="A3:N7" headerRowCount="1" totalsRowCount="0" totalsRowShown="0">
  <autoFilter ref="A3:N7"/>
  <tableColumns count="14">
    <tableColumn id="1" name="Detalle / Ítem"/>
    <tableColumn id="2" name="Prioridad"/>
    <tableColumn id="3" name="Proveedor 1"/>
    <tableColumn id="4" name="Precio 1"/>
    <tableColumn id="5" name="Proveedor 2"/>
    <tableColumn id="6" name="Precio 2"/>
    <tableColumn id="7" name="Proveedor 3"/>
    <tableColumn id="8" name="Precio 3"/>
    <tableColumn id="9" name="Proveedor Elegido"/>
    <tableColumn id="10" name="Cantidad"/>
    <tableColumn id="11" name="Precio Unitario Elegido"/>
    <tableColumn id="12" name="Total"/>
    <tableColumn id="13" name="Estado"/>
    <tableColumn id="14" name="Notas"/>
  </tableColumns>
</table>
</file>

<file path=xl/tables/table8.xml><?xml version="1.0" encoding="utf-8"?>
<table xmlns="http://schemas.openxmlformats.org/spreadsheetml/2006/main" id="8" name="Servidor" displayName="Servidor" ref="A3:N6" headerRowCount="1" totalsRowCount="0" totalsRowShown="0">
  <autoFilter ref="A3:N6"/>
  <tableColumns count="14">
    <tableColumn id="1" name="Detalle / Ítem"/>
    <tableColumn id="2" name="Prioridad"/>
    <tableColumn id="3" name="Proveedor 1"/>
    <tableColumn id="4" name="Precio 1"/>
    <tableColumn id="5" name="Proveedor 2"/>
    <tableColumn id="6" name="Precio 2"/>
    <tableColumn id="7" name="Proveedor 3"/>
    <tableColumn id="8" name="Precio 3"/>
    <tableColumn id="9" name="Proveedor Elegido"/>
    <tableColumn id="10" name="Cantidad"/>
    <tableColumn id="11" name="Precio Unitario Elegido"/>
    <tableColumn id="12" name="Total"/>
    <tableColumn id="13" name="Estado"/>
    <tableColumn id="14" name="Nota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19.7" hidden="false" customHeight="fals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SUM('MDM (Mobile Device Management)'!L:L)</f>
        <v>0</v>
      </c>
    </row>
    <row r="6" customFormat="false" ht="15" hidden="false" customHeight="false" outlineLevel="0" collapsed="false">
      <c r="A6" s="4" t="s">
        <v>5</v>
      </c>
      <c r="B6" s="5" t="n">
        <f aca="false">SUM(Servidor!L:L)</f>
        <v>0</v>
      </c>
    </row>
    <row r="7" customFormat="false" ht="15" hidden="false" customHeight="false" outlineLevel="0" collapsed="false">
      <c r="A7" s="4" t="s">
        <v>6</v>
      </c>
      <c r="B7" s="5" t="n">
        <f aca="false">SUM('RAM y Procesadores'!L:L)</f>
        <v>0</v>
      </c>
    </row>
    <row r="8" customFormat="false" ht="15" hidden="false" customHeight="false" outlineLevel="0" collapsed="false">
      <c r="A8" s="4" t="s">
        <v>7</v>
      </c>
      <c r="B8" s="5" t="n">
        <f aca="false">SUM(Notebooks!L:L)</f>
        <v>0</v>
      </c>
    </row>
    <row r="9" customFormat="false" ht="15" hidden="false" customHeight="false" outlineLevel="0" collapsed="false">
      <c r="A9" s="4" t="s">
        <v>8</v>
      </c>
      <c r="B9" s="5" t="n">
        <f aca="false">SUM(Impresoras!L:L)</f>
        <v>0</v>
      </c>
    </row>
    <row r="10" customFormat="false" ht="15" hidden="false" customHeight="false" outlineLevel="0" collapsed="false">
      <c r="A10" s="4" t="s">
        <v>9</v>
      </c>
      <c r="B10" s="5" t="n">
        <f aca="false">SUM('Actualización de PCs (component'!L:L)</f>
        <v>0</v>
      </c>
    </row>
    <row r="11" customFormat="false" ht="15" hidden="false" customHeight="false" outlineLevel="0" collapsed="false">
      <c r="A11" s="4" t="s">
        <v>10</v>
      </c>
      <c r="B11" s="5" t="n">
        <f aca="false">SUM(Cables!L:L)</f>
        <v>0</v>
      </c>
    </row>
    <row r="12" customFormat="false" ht="15" hidden="false" customHeight="false" outlineLevel="0" collapsed="false">
      <c r="A12" s="4" t="s">
        <v>11</v>
      </c>
      <c r="B12" s="5" t="n">
        <f aca="false">SUM('Contingencia - Emergencia'!L:L)</f>
        <v>0</v>
      </c>
    </row>
    <row r="14" customFormat="false" ht="15" hidden="false" customHeight="false" outlineLevel="0" collapsed="false">
      <c r="A14" s="6" t="s">
        <v>12</v>
      </c>
      <c r="B14" s="7" t="n">
        <f aca="false">SUM(B5:B12)</f>
        <v>0</v>
      </c>
    </row>
    <row r="17" customFormat="false" ht="15" hidden="false" customHeight="false" outlineLevel="0" collapsed="false">
      <c r="A17" s="8" t="s">
        <v>13</v>
      </c>
    </row>
    <row r="18" customFormat="false" ht="15" hidden="false" customHeight="false" outlineLevel="0" collapsed="false">
      <c r="A18" s="9" t="s">
        <v>14</v>
      </c>
      <c r="B18" s="9" t="s">
        <v>3</v>
      </c>
    </row>
    <row r="19" customFormat="false" ht="15" hidden="false" customHeight="false" outlineLevel="0" collapsed="false">
      <c r="A19" s="10" t="s">
        <v>15</v>
      </c>
      <c r="B19" s="11" t="n">
        <f aca="false">SUMIF('MDM (Mobile Device Management)'!B:B,$A$19,'MDM (Mobile Device Management)'!L:L)+SUMIF(Servidor!B:B,$A$19,Servidor!L:L)+SUMIF('RAM y Procesadores'!B:B,$A$19,'RAM y Procesadores'!L:L)+SUMIF(Notebooks!B:B,$A$19,Notebooks!L:L)+SUMIF(Impresoras!B:B,$A$19,Impresoras!L:L)+SUMIF('Actualización de PCs (component'!B:B,$A$19,'Actualización de PCs (component'!L:L)+SUMIF(Cables!B:B,$A$19,Cables!L:L)+SUMIF('Contingencia - Emergencia'!B:B,$A$19,'Contingencia - Emergencia'!L:L)</f>
        <v>0</v>
      </c>
    </row>
    <row r="20" customFormat="false" ht="15" hidden="false" customHeight="false" outlineLevel="0" collapsed="false">
      <c r="A20" s="10" t="s">
        <v>16</v>
      </c>
      <c r="B20" s="11" t="n">
        <f aca="false">SUMIF('MDM (Mobile Device Management)'!B:B,$A$20,'MDM (Mobile Device Management)'!L:L)+SUMIF(Servidor!B:B,$A$20,Servidor!L:L)+SUMIF('RAM y Procesadores'!B:B,$A$20,'RAM y Procesadores'!L:L)+SUMIF(Notebooks!B:B,$A$20,Notebooks!L:L)+SUMIF(Impresoras!B:B,$A$20,Impresoras!L:L)+SUMIF('Actualización de PCs (component'!B:B,$A$20,'Actualización de PCs (component'!L:L)+SUMIF(Cables!B:B,$A$20,Cables!L:L)+SUMIF('Contingencia - Emergencia'!B:B,$A$20,'Contingencia - Emergencia'!L:L)</f>
        <v>0</v>
      </c>
    </row>
    <row r="21" customFormat="false" ht="15" hidden="false" customHeight="false" outlineLevel="0" collapsed="false">
      <c r="A21" s="10" t="s">
        <v>17</v>
      </c>
      <c r="B21" s="11" t="n">
        <f aca="false">SUMIF('MDM (Mobile Device Management)'!B:B,$A$21,'MDM (Mobile Device Management)'!L:L)+SUMIF(Servidor!B:B,$A$21,Servidor!L:L)+SUMIF('RAM y Procesadores'!B:B,$A$21,'RAM y Procesadores'!L:L)+SUMIF(Notebooks!B:B,$A$21,Notebooks!L:L)+SUMIF(Impresoras!B:B,$A$21,Impresoras!L:L)+SUMIF('Actualización de PCs (component'!B:B,$A$21,'Actualización de PCs (component'!L:L)+SUMIF(Cables!B:B,$A$21,Cables!L:L)+SUMIF('Contingencia - Emergencia'!B:B,$A$21,'Contingencia - Emergencia'!L:L)</f>
        <v>0</v>
      </c>
    </row>
    <row r="23" customFormat="false" ht="15" hidden="false" customHeight="false" outlineLevel="0" collapsed="false">
      <c r="A23" s="8" t="s">
        <v>18</v>
      </c>
    </row>
    <row r="24" customFormat="false" ht="15" hidden="false" customHeight="false" outlineLevel="0" collapsed="false">
      <c r="A24" s="9" t="s">
        <v>19</v>
      </c>
      <c r="B24" s="9" t="s">
        <v>3</v>
      </c>
    </row>
    <row r="25" customFormat="false" ht="15" hidden="false" customHeight="false" outlineLevel="0" collapsed="false">
      <c r="A25" s="10" t="s">
        <v>20</v>
      </c>
      <c r="B25" s="11" t="n">
        <f aca="false">SUMIF('MDM (Mobile Device Management)'!M:M,$A$25,'MDM (Mobile Device Management)'!L:L)+SUMIF(Servidor!M:M,$A$25,Servidor!L:L)+SUMIF('RAM y Procesadores'!M:M,$A$25,'RAM y Procesadores'!L:L)+SUMIF(Notebooks!M:M,$A$25,Notebooks!L:L)+SUMIF(Impresoras!M:M,$A$25,Impresoras!L:L)+SUMIF('Actualización de PCs (component'!M:M,$A$25,'Actualización de PCs (component'!L:L)+SUMIF(Cables!M:M,$A$25,Cables!L:L)+SUMIF('Contingencia - Emergencia'!M:M,$A$25,'Contingencia - Emergencia'!L:L)</f>
        <v>0</v>
      </c>
    </row>
    <row r="26" customFormat="false" ht="15" hidden="false" customHeight="false" outlineLevel="0" collapsed="false">
      <c r="A26" s="10" t="s">
        <v>21</v>
      </c>
      <c r="B26" s="11" t="n">
        <f aca="false">SUMIF('MDM (Mobile Device Management)'!M:M,$A$26,'MDM (Mobile Device Management)'!L:L)+SUMIF(Servidor!M:M,$A$26,Servidor!L:L)+SUMIF('RAM y Procesadores'!M:M,$A$26,'RAM y Procesadores'!L:L)+SUMIF(Notebooks!M:M,$A$26,Notebooks!L:L)+SUMIF(Impresoras!M:M,$A$26,Impresoras!L:L)+SUMIF('Actualización de PCs (component'!M:M,$A$26,'Actualización de PCs (component'!L:L)+SUMIF(Cables!M:M,$A$26,Cables!L:L)+SUMIF('Contingencia - Emergencia'!M:M,$A$26,'Contingencia - Emergencia'!L:L)</f>
        <v>0</v>
      </c>
    </row>
    <row r="27" customFormat="false" ht="15" hidden="false" customHeight="false" outlineLevel="0" collapsed="false">
      <c r="A27" s="10" t="s">
        <v>22</v>
      </c>
      <c r="B27" s="11" t="n">
        <f aca="false">SUMIF('MDM (Mobile Device Management)'!M:M,$A$27,'MDM (Mobile Device Management)'!L:L)+SUMIF(Servidor!M:M,$A$27,Servidor!L:L)+SUMIF('RAM y Procesadores'!M:M,$A$27,'RAM y Procesadores'!L:L)+SUMIF(Notebooks!M:M,$A$27,Notebooks!L:L)+SUMIF(Impresoras!M:M,$A$27,Impresoras!L:L)+SUMIF('Actualización de PCs (component'!M:M,$A$27,'Actualización de PCs (component'!L:L)+SUMIF(Cables!M:M,$A$27,Cables!L:L)+SUMIF('Contingencia - Emergencia'!M:M,$A$27,'Contingencia - Emergencia'!L:L)</f>
        <v>0</v>
      </c>
    </row>
    <row r="28" customFormat="false" ht="15" hidden="false" customHeight="false" outlineLevel="0" collapsed="false">
      <c r="A28" s="10" t="s">
        <v>23</v>
      </c>
      <c r="B28" s="11" t="n">
        <f aca="false">SUMIF('MDM (Mobile Device Management)'!M:M,$A$28,'MDM (Mobile Device Management)'!L:L)+SUMIF(Servidor!M:M,$A$28,Servidor!L:L)+SUMIF('RAM y Procesadores'!M:M,$A$28,'RAM y Procesadores'!L:L)+SUMIF(Notebooks!M:M,$A$28,Notebooks!L:L)+SUMIF(Impresoras!M:M,$A$28,Impresoras!L:L)+SUMIF('Actualización de PCs (component'!M:M,$A$28,'Actualización de PCs (component'!L:L)+SUMIF(Cables!M:M,$A$28,Cables!L:L)+SUMIF('Contingencia - Emergencia'!M:M,$A$28,'Contingencia - Emergencia'!L:L)</f>
        <v>0</v>
      </c>
    </row>
    <row r="29" customFormat="false" ht="15" hidden="false" customHeight="false" outlineLevel="0" collapsed="false">
      <c r="A29" s="10" t="s">
        <v>24</v>
      </c>
      <c r="B29" s="11" t="n">
        <f aca="false">SUMIF('MDM (Mobile Device Management)'!M:M,$A$29,'MDM (Mobile Device Management)'!L:L)+SUMIF(Servidor!M:M,$A$29,Servidor!L:L)+SUMIF('RAM y Procesadores'!M:M,$A$29,'RAM y Procesadores'!L:L)+SUMIF(Notebooks!M:M,$A$29,Notebooks!L:L)+SUMIF(Impresoras!M:M,$A$29,Impresoras!L:L)+SUMIF('Actualización de PCs (component'!M:M,$A$29,'Actualización de PCs (component'!L:L)+SUMIF(Cables!M:M,$A$29,Cables!L:L)+SUMIF('Contingencia - Emergencia'!M:M,$A$29,'Contingencia - Emergencia'!L:L)</f>
        <v>0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10"/>
    <col collapsed="false" customWidth="true" hidden="false" outlineLevel="0" max="11" min="11" style="0" width="18"/>
    <col collapsed="false" customWidth="true" hidden="false" outlineLevel="0" max="12" min="12" style="0" width="15"/>
    <col collapsed="false" customWidth="true" hidden="false" outlineLevel="0" max="13" min="13" style="0" width="13"/>
    <col collapsed="false" customWidth="true" hidden="false" outlineLevel="0" max="14" min="14" style="0" width="26"/>
  </cols>
  <sheetData>
    <row r="1" customFormat="false" ht="19.7" hidden="false" customHeight="false" outlineLevel="0" collapsed="false">
      <c r="A1" s="1" t="s">
        <v>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3.85" hidden="false" customHeight="false" outlineLevel="0" collapsed="false">
      <c r="A3" s="12" t="s">
        <v>26</v>
      </c>
      <c r="B3" s="12" t="s">
        <v>14</v>
      </c>
      <c r="C3" s="12" t="s">
        <v>27</v>
      </c>
      <c r="D3" s="12" t="s">
        <v>28</v>
      </c>
      <c r="E3" s="12" t="s">
        <v>29</v>
      </c>
      <c r="F3" s="12" t="s">
        <v>30</v>
      </c>
      <c r="G3" s="12" t="s">
        <v>31</v>
      </c>
      <c r="H3" s="12" t="s">
        <v>32</v>
      </c>
      <c r="I3" s="12" t="s">
        <v>33</v>
      </c>
      <c r="J3" s="12" t="s">
        <v>34</v>
      </c>
      <c r="K3" s="12" t="s">
        <v>35</v>
      </c>
      <c r="L3" s="12" t="s">
        <v>36</v>
      </c>
      <c r="M3" s="12" t="s">
        <v>19</v>
      </c>
      <c r="N3" s="12" t="s">
        <v>37</v>
      </c>
    </row>
    <row r="4" customFormat="false" ht="15" hidden="false" customHeight="false" outlineLevel="0" collapsed="false">
      <c r="A4" s="10" t="s">
        <v>38</v>
      </c>
      <c r="B4" s="13"/>
      <c r="C4" s="13"/>
      <c r="D4" s="14"/>
      <c r="E4" s="13"/>
      <c r="F4" s="14"/>
      <c r="G4" s="13"/>
      <c r="H4" s="14"/>
      <c r="I4" s="13"/>
      <c r="J4" s="13"/>
      <c r="K4" s="14"/>
      <c r="L4" s="11" t="str">
        <f aca="false">IF(OR(J4="",K4=""),"",J4*K4)</f>
        <v/>
      </c>
      <c r="M4" s="10"/>
      <c r="N4" s="10"/>
    </row>
    <row r="5" customFormat="false" ht="15" hidden="false" customHeight="false" outlineLevel="0" collapsed="false">
      <c r="A5" s="10"/>
      <c r="B5" s="13"/>
      <c r="C5" s="13"/>
      <c r="D5" s="14"/>
      <c r="E5" s="13"/>
      <c r="F5" s="14"/>
      <c r="G5" s="13"/>
      <c r="H5" s="14"/>
      <c r="I5" s="13"/>
      <c r="J5" s="13"/>
      <c r="K5" s="14"/>
      <c r="L5" s="11" t="str">
        <f aca="false">IF(OR(J5="",K5=""),"",J5*K5)</f>
        <v/>
      </c>
      <c r="M5" s="10"/>
      <c r="N5" s="10"/>
    </row>
    <row r="6" customFormat="false" ht="15" hidden="false" customHeight="false" outlineLevel="0" collapsed="false">
      <c r="A6" s="10"/>
      <c r="B6" s="13"/>
      <c r="C6" s="13"/>
      <c r="D6" s="14"/>
      <c r="E6" s="13"/>
      <c r="F6" s="14"/>
      <c r="G6" s="13"/>
      <c r="H6" s="14"/>
      <c r="I6" s="13"/>
      <c r="J6" s="13"/>
      <c r="K6" s="14"/>
      <c r="L6" s="11" t="str">
        <f aca="false">IF(OR(J6="",K6=""),"",J6*K6)</f>
        <v/>
      </c>
      <c r="M6" s="10"/>
      <c r="N6" s="10"/>
    </row>
  </sheetData>
  <mergeCells count="2">
    <mergeCell ref="A1:N1"/>
    <mergeCell ref="A2:N2"/>
  </mergeCells>
  <conditionalFormatting sqref="D4">
    <cfRule type="expression" priority="2" aboveAverage="0" equalAverage="0" bottom="0" percent="0" rank="0" text="" dxfId="4">
      <formula>AND(D4&lt;&gt;"",D4=MIN(D4,F4,H4))</formula>
    </cfRule>
  </conditionalFormatting>
  <conditionalFormatting sqref="D5">
    <cfRule type="expression" priority="3" aboveAverage="0" equalAverage="0" bottom="0" percent="0" rank="0" text="" dxfId="4">
      <formula>AND(D5&lt;&gt;"",D5=MIN(D5,F5,H5))</formula>
    </cfRule>
  </conditionalFormatting>
  <conditionalFormatting sqref="D6">
    <cfRule type="expression" priority="4" aboveAverage="0" equalAverage="0" bottom="0" percent="0" rank="0" text="" dxfId="4">
      <formula>AND(D6&lt;&gt;"",D6=MIN(D6,F6,H6))</formula>
    </cfRule>
  </conditionalFormatting>
  <conditionalFormatting sqref="F4">
    <cfRule type="expression" priority="5" aboveAverage="0" equalAverage="0" bottom="0" percent="0" rank="0" text="" dxfId="4">
      <formula>AND(F4&lt;&gt;"",F4=MIN(F4,D4,H4))</formula>
    </cfRule>
  </conditionalFormatting>
  <conditionalFormatting sqref="F5">
    <cfRule type="expression" priority="6" aboveAverage="0" equalAverage="0" bottom="0" percent="0" rank="0" text="" dxfId="4">
      <formula>AND(F5&lt;&gt;"",F5=MIN(F5,D5,H5))</formula>
    </cfRule>
  </conditionalFormatting>
  <conditionalFormatting sqref="F6">
    <cfRule type="expression" priority="7" aboveAverage="0" equalAverage="0" bottom="0" percent="0" rank="0" text="" dxfId="4">
      <formula>AND(F6&lt;&gt;"",F6=MIN(F6,D6,H6))</formula>
    </cfRule>
  </conditionalFormatting>
  <conditionalFormatting sqref="H4">
    <cfRule type="expression" priority="8" aboveAverage="0" equalAverage="0" bottom="0" percent="0" rank="0" text="" dxfId="4">
      <formula>AND(H4&lt;&gt;"",H4=MIN(H4,D4,F4))</formula>
    </cfRule>
  </conditionalFormatting>
  <conditionalFormatting sqref="H5">
    <cfRule type="expression" priority="9" aboveAverage="0" equalAverage="0" bottom="0" percent="0" rank="0" text="" dxfId="4">
      <formula>AND(H5&lt;&gt;"",H5=MIN(H5,D5,F5))</formula>
    </cfRule>
  </conditionalFormatting>
  <conditionalFormatting sqref="H6">
    <cfRule type="expression" priority="10" aboveAverage="0" equalAverage="0" bottom="0" percent="0" rank="0" text="" dxfId="4">
      <formula>AND(H6&lt;&gt;"",H6=MIN(H6,D6,F6))</formula>
    </cfRule>
  </conditionalFormatting>
  <dataValidations count="2">
    <dataValidation allowBlank="true" errorStyle="stop" operator="between" showDropDown="false" showErrorMessage="false" showInputMessage="false" sqref="B4:B6" type="list">
      <formula1>"Alta,Media,Baja"</formula1>
      <formula2>0</formula2>
    </dataValidation>
    <dataValidation allowBlank="true" errorStyle="stop" operator="between" showDropDown="false" showErrorMessage="false" showInputMessage="false" sqref="M4:M6" type="list">
      <formula1>"Pendiente,Cotizado,Aprobado,Comprado,Cancelado"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10"/>
    <col collapsed="false" customWidth="true" hidden="false" outlineLevel="0" max="11" min="11" style="0" width="18"/>
    <col collapsed="false" customWidth="true" hidden="false" outlineLevel="0" max="12" min="12" style="0" width="15"/>
    <col collapsed="false" customWidth="true" hidden="false" outlineLevel="0" max="13" min="13" style="0" width="13"/>
    <col collapsed="false" customWidth="true" hidden="false" outlineLevel="0" max="14" min="14" style="0" width="26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3.85" hidden="false" customHeight="false" outlineLevel="0" collapsed="false">
      <c r="A3" s="12" t="s">
        <v>26</v>
      </c>
      <c r="B3" s="12" t="s">
        <v>14</v>
      </c>
      <c r="C3" s="12" t="s">
        <v>27</v>
      </c>
      <c r="D3" s="12" t="s">
        <v>28</v>
      </c>
      <c r="E3" s="12" t="s">
        <v>29</v>
      </c>
      <c r="F3" s="12" t="s">
        <v>30</v>
      </c>
      <c r="G3" s="12" t="s">
        <v>31</v>
      </c>
      <c r="H3" s="12" t="s">
        <v>32</v>
      </c>
      <c r="I3" s="12" t="s">
        <v>33</v>
      </c>
      <c r="J3" s="12" t="s">
        <v>34</v>
      </c>
      <c r="K3" s="12" t="s">
        <v>35</v>
      </c>
      <c r="L3" s="12" t="s">
        <v>36</v>
      </c>
      <c r="M3" s="12" t="s">
        <v>19</v>
      </c>
      <c r="N3" s="12" t="s">
        <v>37</v>
      </c>
    </row>
    <row r="4" customFormat="false" ht="15" hidden="false" customHeight="false" outlineLevel="0" collapsed="false">
      <c r="A4" s="10" t="s">
        <v>39</v>
      </c>
      <c r="B4" s="13"/>
      <c r="C4" s="13"/>
      <c r="D4" s="14"/>
      <c r="E4" s="13"/>
      <c r="F4" s="14"/>
      <c r="G4" s="13"/>
      <c r="H4" s="14"/>
      <c r="I4" s="13"/>
      <c r="J4" s="13"/>
      <c r="K4" s="14"/>
      <c r="L4" s="11" t="str">
        <f aca="false">IF(OR(J4="",K4=""),"",J4*K4)</f>
        <v/>
      </c>
      <c r="M4" s="10"/>
      <c r="N4" s="10"/>
    </row>
    <row r="5" customFormat="false" ht="15" hidden="false" customHeight="false" outlineLevel="0" collapsed="false">
      <c r="A5" s="10"/>
      <c r="B5" s="13"/>
      <c r="C5" s="13"/>
      <c r="D5" s="14"/>
      <c r="E5" s="13"/>
      <c r="F5" s="14"/>
      <c r="G5" s="13"/>
      <c r="H5" s="14"/>
      <c r="I5" s="13"/>
      <c r="J5" s="13"/>
      <c r="K5" s="14"/>
      <c r="L5" s="11" t="str">
        <f aca="false">IF(OR(J5="",K5=""),"",J5*K5)</f>
        <v/>
      </c>
      <c r="M5" s="10"/>
      <c r="N5" s="10"/>
    </row>
    <row r="6" customFormat="false" ht="15" hidden="false" customHeight="false" outlineLevel="0" collapsed="false">
      <c r="A6" s="10"/>
      <c r="B6" s="13"/>
      <c r="C6" s="13"/>
      <c r="D6" s="14"/>
      <c r="E6" s="13"/>
      <c r="F6" s="14"/>
      <c r="G6" s="13"/>
      <c r="H6" s="14"/>
      <c r="I6" s="13"/>
      <c r="J6" s="13"/>
      <c r="K6" s="14"/>
      <c r="L6" s="11" t="str">
        <f aca="false">IF(OR(J6="",K6=""),"",J6*K6)</f>
        <v/>
      </c>
      <c r="M6" s="10"/>
      <c r="N6" s="10"/>
    </row>
  </sheetData>
  <mergeCells count="2">
    <mergeCell ref="A1:N1"/>
    <mergeCell ref="A2:N2"/>
  </mergeCells>
  <conditionalFormatting sqref="D4">
    <cfRule type="expression" priority="2" aboveAverage="0" equalAverage="0" bottom="0" percent="0" rank="0" text="" dxfId="4">
      <formula>AND(D4&lt;&gt;"",D4=MIN(D4,F4,H4))</formula>
    </cfRule>
  </conditionalFormatting>
  <conditionalFormatting sqref="D5">
    <cfRule type="expression" priority="3" aboveAverage="0" equalAverage="0" bottom="0" percent="0" rank="0" text="" dxfId="4">
      <formula>AND(D5&lt;&gt;"",D5=MIN(D5,F5,H5))</formula>
    </cfRule>
  </conditionalFormatting>
  <conditionalFormatting sqref="D6">
    <cfRule type="expression" priority="4" aboveAverage="0" equalAverage="0" bottom="0" percent="0" rank="0" text="" dxfId="4">
      <formula>AND(D6&lt;&gt;"",D6=MIN(D6,F6,H6))</formula>
    </cfRule>
  </conditionalFormatting>
  <conditionalFormatting sqref="F4">
    <cfRule type="expression" priority="5" aboveAverage="0" equalAverage="0" bottom="0" percent="0" rank="0" text="" dxfId="4">
      <formula>AND(F4&lt;&gt;"",F4=MIN(F4,D4,H4))</formula>
    </cfRule>
  </conditionalFormatting>
  <conditionalFormatting sqref="F5">
    <cfRule type="expression" priority="6" aboveAverage="0" equalAverage="0" bottom="0" percent="0" rank="0" text="" dxfId="4">
      <formula>AND(F5&lt;&gt;"",F5=MIN(F5,D5,H5))</formula>
    </cfRule>
  </conditionalFormatting>
  <conditionalFormatting sqref="F6">
    <cfRule type="expression" priority="7" aboveAverage="0" equalAverage="0" bottom="0" percent="0" rank="0" text="" dxfId="4">
      <formula>AND(F6&lt;&gt;"",F6=MIN(F6,D6,H6))</formula>
    </cfRule>
  </conditionalFormatting>
  <conditionalFormatting sqref="H4">
    <cfRule type="expression" priority="8" aboveAverage="0" equalAverage="0" bottom="0" percent="0" rank="0" text="" dxfId="4">
      <formula>AND(H4&lt;&gt;"",H4=MIN(H4,D4,F4))</formula>
    </cfRule>
  </conditionalFormatting>
  <conditionalFormatting sqref="H5">
    <cfRule type="expression" priority="9" aboveAverage="0" equalAverage="0" bottom="0" percent="0" rank="0" text="" dxfId="4">
      <formula>AND(H5&lt;&gt;"",H5=MIN(H5,D5,F5))</formula>
    </cfRule>
  </conditionalFormatting>
  <conditionalFormatting sqref="H6">
    <cfRule type="expression" priority="10" aboveAverage="0" equalAverage="0" bottom="0" percent="0" rank="0" text="" dxfId="4">
      <formula>AND(H6&lt;&gt;"",H6=MIN(H6,D6,F6))</formula>
    </cfRule>
  </conditionalFormatting>
  <dataValidations count="2">
    <dataValidation allowBlank="true" errorStyle="stop" operator="between" showDropDown="false" showErrorMessage="false" showInputMessage="false" sqref="B4:B6" type="list">
      <formula1>"Alta,Media,Baja"</formula1>
      <formula2>0</formula2>
    </dataValidation>
    <dataValidation allowBlank="true" errorStyle="stop" operator="between" showDropDown="false" showErrorMessage="false" showInputMessage="false" sqref="M4:M6" type="list">
      <formula1>"Pendiente,Cotizado,Aprobado,Comprado,Cancelado"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10"/>
    <col collapsed="false" customWidth="true" hidden="false" outlineLevel="0" max="11" min="11" style="0" width="18"/>
    <col collapsed="false" customWidth="true" hidden="false" outlineLevel="0" max="12" min="12" style="0" width="15"/>
    <col collapsed="false" customWidth="true" hidden="false" outlineLevel="0" max="13" min="13" style="0" width="13"/>
    <col collapsed="false" customWidth="true" hidden="false" outlineLevel="0" max="14" min="14" style="0" width="26"/>
  </cols>
  <sheetData>
    <row r="1" customFormat="false" ht="19.7" hidden="false" customHeight="false" outlineLevel="0" collapsed="false">
      <c r="A1" s="1" t="s">
        <v>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3.85" hidden="false" customHeight="false" outlineLevel="0" collapsed="false">
      <c r="A3" s="12" t="s">
        <v>26</v>
      </c>
      <c r="B3" s="12" t="s">
        <v>14</v>
      </c>
      <c r="C3" s="12" t="s">
        <v>27</v>
      </c>
      <c r="D3" s="12" t="s">
        <v>28</v>
      </c>
      <c r="E3" s="12" t="s">
        <v>29</v>
      </c>
      <c r="F3" s="12" t="s">
        <v>30</v>
      </c>
      <c r="G3" s="12" t="s">
        <v>31</v>
      </c>
      <c r="H3" s="12" t="s">
        <v>32</v>
      </c>
      <c r="I3" s="12" t="s">
        <v>33</v>
      </c>
      <c r="J3" s="12" t="s">
        <v>34</v>
      </c>
      <c r="K3" s="12" t="s">
        <v>35</v>
      </c>
      <c r="L3" s="12" t="s">
        <v>36</v>
      </c>
      <c r="M3" s="12" t="s">
        <v>19</v>
      </c>
      <c r="N3" s="12" t="s">
        <v>37</v>
      </c>
    </row>
    <row r="4" customFormat="false" ht="15" hidden="false" customHeight="false" outlineLevel="0" collapsed="false">
      <c r="A4" s="10" t="s">
        <v>40</v>
      </c>
      <c r="B4" s="13"/>
      <c r="C4" s="13"/>
      <c r="D4" s="14"/>
      <c r="E4" s="13"/>
      <c r="F4" s="14"/>
      <c r="G4" s="13"/>
      <c r="H4" s="14"/>
      <c r="I4" s="13"/>
      <c r="J4" s="13"/>
      <c r="K4" s="14"/>
      <c r="L4" s="11" t="str">
        <f aca="false">IF(OR(J4="",K4=""),"",J4*K4)</f>
        <v/>
      </c>
      <c r="M4" s="10"/>
      <c r="N4" s="10"/>
    </row>
    <row r="5" customFormat="false" ht="15" hidden="false" customHeight="false" outlineLevel="0" collapsed="false">
      <c r="A5" s="10" t="s">
        <v>41</v>
      </c>
      <c r="B5" s="13"/>
      <c r="C5" s="13"/>
      <c r="D5" s="14"/>
      <c r="E5" s="13"/>
      <c r="F5" s="14"/>
      <c r="G5" s="13"/>
      <c r="H5" s="14"/>
      <c r="I5" s="13"/>
      <c r="J5" s="13"/>
      <c r="K5" s="14"/>
      <c r="L5" s="11" t="str">
        <f aca="false">IF(OR(J5="",K5=""),"",J5*K5)</f>
        <v/>
      </c>
      <c r="M5" s="10"/>
      <c r="N5" s="10"/>
    </row>
    <row r="6" customFormat="false" ht="15" hidden="false" customHeight="false" outlineLevel="0" collapsed="false">
      <c r="A6" s="10"/>
      <c r="B6" s="13"/>
      <c r="C6" s="13"/>
      <c r="D6" s="14"/>
      <c r="E6" s="13"/>
      <c r="F6" s="14"/>
      <c r="G6" s="13"/>
      <c r="H6" s="14"/>
      <c r="I6" s="13"/>
      <c r="J6" s="13"/>
      <c r="K6" s="14"/>
      <c r="L6" s="11" t="str">
        <f aca="false">IF(OR(J6="",K6=""),"",J6*K6)</f>
        <v/>
      </c>
      <c r="M6" s="10"/>
      <c r="N6" s="10"/>
    </row>
    <row r="7" customFormat="false" ht="15" hidden="false" customHeight="false" outlineLevel="0" collapsed="false">
      <c r="A7" s="10"/>
      <c r="B7" s="13"/>
      <c r="C7" s="13"/>
      <c r="D7" s="14"/>
      <c r="E7" s="13"/>
      <c r="F7" s="14"/>
      <c r="G7" s="13"/>
      <c r="H7" s="14"/>
      <c r="I7" s="13"/>
      <c r="J7" s="13"/>
      <c r="K7" s="14"/>
      <c r="L7" s="11" t="str">
        <f aca="false">IF(OR(J7="",K7=""),"",J7*K7)</f>
        <v/>
      </c>
      <c r="M7" s="10"/>
      <c r="N7" s="10"/>
    </row>
  </sheetData>
  <mergeCells count="2">
    <mergeCell ref="A1:N1"/>
    <mergeCell ref="A2:N2"/>
  </mergeCells>
  <conditionalFormatting sqref="D4">
    <cfRule type="expression" priority="2" aboveAverage="0" equalAverage="0" bottom="0" percent="0" rank="0" text="" dxfId="4">
      <formula>AND(D4&lt;&gt;"",D4=MIN(D4,F4,H4))</formula>
    </cfRule>
  </conditionalFormatting>
  <conditionalFormatting sqref="D5">
    <cfRule type="expression" priority="3" aboveAverage="0" equalAverage="0" bottom="0" percent="0" rank="0" text="" dxfId="4">
      <formula>AND(D5&lt;&gt;"",D5=MIN(D5,F5,H5))</formula>
    </cfRule>
  </conditionalFormatting>
  <conditionalFormatting sqref="D6">
    <cfRule type="expression" priority="4" aboveAverage="0" equalAverage="0" bottom="0" percent="0" rank="0" text="" dxfId="4">
      <formula>AND(D6&lt;&gt;"",D6=MIN(D6,F6,H6))</formula>
    </cfRule>
  </conditionalFormatting>
  <conditionalFormatting sqref="D7">
    <cfRule type="expression" priority="5" aboveAverage="0" equalAverage="0" bottom="0" percent="0" rank="0" text="" dxfId="4">
      <formula>AND(D7&lt;&gt;"",D7=MIN(D7,F7,H7))</formula>
    </cfRule>
  </conditionalFormatting>
  <conditionalFormatting sqref="F4">
    <cfRule type="expression" priority="6" aboveAverage="0" equalAverage="0" bottom="0" percent="0" rank="0" text="" dxfId="4">
      <formula>AND(F4&lt;&gt;"",F4=MIN(F4,D4,H4))</formula>
    </cfRule>
  </conditionalFormatting>
  <conditionalFormatting sqref="F5">
    <cfRule type="expression" priority="7" aboveAverage="0" equalAverage="0" bottom="0" percent="0" rank="0" text="" dxfId="4">
      <formula>AND(F5&lt;&gt;"",F5=MIN(F5,D5,H5))</formula>
    </cfRule>
  </conditionalFormatting>
  <conditionalFormatting sqref="F6">
    <cfRule type="expression" priority="8" aboveAverage="0" equalAverage="0" bottom="0" percent="0" rank="0" text="" dxfId="4">
      <formula>AND(F6&lt;&gt;"",F6=MIN(F6,D6,H6))</formula>
    </cfRule>
  </conditionalFormatting>
  <conditionalFormatting sqref="F7">
    <cfRule type="expression" priority="9" aboveAverage="0" equalAverage="0" bottom="0" percent="0" rank="0" text="" dxfId="4">
      <formula>AND(F7&lt;&gt;"",F7=MIN(F7,D7,H7))</formula>
    </cfRule>
  </conditionalFormatting>
  <conditionalFormatting sqref="H4">
    <cfRule type="expression" priority="10" aboveAverage="0" equalAverage="0" bottom="0" percent="0" rank="0" text="" dxfId="4">
      <formula>AND(H4&lt;&gt;"",H4=MIN(H4,D4,F4))</formula>
    </cfRule>
  </conditionalFormatting>
  <conditionalFormatting sqref="H5">
    <cfRule type="expression" priority="11" aboveAverage="0" equalAverage="0" bottom="0" percent="0" rank="0" text="" dxfId="4">
      <formula>AND(H5&lt;&gt;"",H5=MIN(H5,D5,F5))</formula>
    </cfRule>
  </conditionalFormatting>
  <conditionalFormatting sqref="H6">
    <cfRule type="expression" priority="12" aboveAverage="0" equalAverage="0" bottom="0" percent="0" rank="0" text="" dxfId="4">
      <formula>AND(H6&lt;&gt;"",H6=MIN(H6,D6,F6))</formula>
    </cfRule>
  </conditionalFormatting>
  <conditionalFormatting sqref="H7">
    <cfRule type="expression" priority="13" aboveAverage="0" equalAverage="0" bottom="0" percent="0" rank="0" text="" dxfId="4">
      <formula>AND(H7&lt;&gt;"",H7=MIN(H7,D7,F7))</formula>
    </cfRule>
  </conditionalFormatting>
  <dataValidations count="2">
    <dataValidation allowBlank="true" errorStyle="stop" operator="between" showDropDown="false" showErrorMessage="false" showInputMessage="false" sqref="B4:B7" type="list">
      <formula1>"Alta,Media,Baja"</formula1>
      <formula2>0</formula2>
    </dataValidation>
    <dataValidation allowBlank="true" errorStyle="stop" operator="between" showDropDown="false" showErrorMessage="false" showInputMessage="false" sqref="M4:M7" type="list">
      <formula1>"Pendiente,Cotizado,Aprobado,Comprado,Cancelado"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10"/>
    <col collapsed="false" customWidth="true" hidden="false" outlineLevel="0" max="11" min="11" style="0" width="18"/>
    <col collapsed="false" customWidth="true" hidden="false" outlineLevel="0" max="12" min="12" style="0" width="15"/>
    <col collapsed="false" customWidth="true" hidden="false" outlineLevel="0" max="13" min="13" style="0" width="13"/>
    <col collapsed="false" customWidth="true" hidden="false" outlineLevel="0" max="14" min="14" style="0" width="26"/>
  </cols>
  <sheetData>
    <row r="1" customFormat="false" ht="19.7" hidden="false" customHeight="false" outlineLevel="0" collapsed="false">
      <c r="A1" s="1" t="s">
        <v>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3.85" hidden="false" customHeight="false" outlineLevel="0" collapsed="false">
      <c r="A3" s="12" t="s">
        <v>26</v>
      </c>
      <c r="B3" s="12" t="s">
        <v>14</v>
      </c>
      <c r="C3" s="12" t="s">
        <v>27</v>
      </c>
      <c r="D3" s="12" t="s">
        <v>28</v>
      </c>
      <c r="E3" s="12" t="s">
        <v>29</v>
      </c>
      <c r="F3" s="12" t="s">
        <v>30</v>
      </c>
      <c r="G3" s="12" t="s">
        <v>31</v>
      </c>
      <c r="H3" s="12" t="s">
        <v>32</v>
      </c>
      <c r="I3" s="12" t="s">
        <v>33</v>
      </c>
      <c r="J3" s="12" t="s">
        <v>34</v>
      </c>
      <c r="K3" s="12" t="s">
        <v>35</v>
      </c>
      <c r="L3" s="12" t="s">
        <v>36</v>
      </c>
      <c r="M3" s="12" t="s">
        <v>19</v>
      </c>
      <c r="N3" s="12" t="s">
        <v>37</v>
      </c>
    </row>
    <row r="4" customFormat="false" ht="15" hidden="false" customHeight="false" outlineLevel="0" collapsed="false">
      <c r="A4" s="10" t="s">
        <v>42</v>
      </c>
      <c r="B4" s="13"/>
      <c r="C4" s="13"/>
      <c r="D4" s="14"/>
      <c r="E4" s="13"/>
      <c r="F4" s="14"/>
      <c r="G4" s="13"/>
      <c r="H4" s="14"/>
      <c r="I4" s="13"/>
      <c r="J4" s="13"/>
      <c r="K4" s="14"/>
      <c r="L4" s="11" t="str">
        <f aca="false">IF(OR(J4="",K4=""),"",J4*K4)</f>
        <v/>
      </c>
      <c r="M4" s="10"/>
      <c r="N4" s="10"/>
    </row>
    <row r="5" customFormat="false" ht="15" hidden="false" customHeight="false" outlineLevel="0" collapsed="false">
      <c r="A5" s="10"/>
      <c r="B5" s="13"/>
      <c r="C5" s="13"/>
      <c r="D5" s="14"/>
      <c r="E5" s="13"/>
      <c r="F5" s="14"/>
      <c r="G5" s="13"/>
      <c r="H5" s="14"/>
      <c r="I5" s="13"/>
      <c r="J5" s="13"/>
      <c r="K5" s="14"/>
      <c r="L5" s="11" t="str">
        <f aca="false">IF(OR(J5="",K5=""),"",J5*K5)</f>
        <v/>
      </c>
      <c r="M5" s="10"/>
      <c r="N5" s="10"/>
    </row>
    <row r="6" customFormat="false" ht="15" hidden="false" customHeight="false" outlineLevel="0" collapsed="false">
      <c r="A6" s="10"/>
      <c r="B6" s="13"/>
      <c r="C6" s="13"/>
      <c r="D6" s="14"/>
      <c r="E6" s="13"/>
      <c r="F6" s="14"/>
      <c r="G6" s="13"/>
      <c r="H6" s="14"/>
      <c r="I6" s="13"/>
      <c r="J6" s="13"/>
      <c r="K6" s="14"/>
      <c r="L6" s="11" t="str">
        <f aca="false">IF(OR(J6="",K6=""),"",J6*K6)</f>
        <v/>
      </c>
      <c r="M6" s="10"/>
      <c r="N6" s="10"/>
    </row>
  </sheetData>
  <mergeCells count="2">
    <mergeCell ref="A1:N1"/>
    <mergeCell ref="A2:N2"/>
  </mergeCells>
  <conditionalFormatting sqref="D4">
    <cfRule type="expression" priority="2" aboveAverage="0" equalAverage="0" bottom="0" percent="0" rank="0" text="" dxfId="4">
      <formula>AND(D4&lt;&gt;"",D4=MIN(D4,F4,H4))</formula>
    </cfRule>
  </conditionalFormatting>
  <conditionalFormatting sqref="D5">
    <cfRule type="expression" priority="3" aboveAverage="0" equalAverage="0" bottom="0" percent="0" rank="0" text="" dxfId="4">
      <formula>AND(D5&lt;&gt;"",D5=MIN(D5,F5,H5))</formula>
    </cfRule>
  </conditionalFormatting>
  <conditionalFormatting sqref="D6">
    <cfRule type="expression" priority="4" aboveAverage="0" equalAverage="0" bottom="0" percent="0" rank="0" text="" dxfId="4">
      <formula>AND(D6&lt;&gt;"",D6=MIN(D6,F6,H6))</formula>
    </cfRule>
  </conditionalFormatting>
  <conditionalFormatting sqref="F4">
    <cfRule type="expression" priority="5" aboveAverage="0" equalAverage="0" bottom="0" percent="0" rank="0" text="" dxfId="4">
      <formula>AND(F4&lt;&gt;"",F4=MIN(F4,D4,H4))</formula>
    </cfRule>
  </conditionalFormatting>
  <conditionalFormatting sqref="F5">
    <cfRule type="expression" priority="6" aboveAverage="0" equalAverage="0" bottom="0" percent="0" rank="0" text="" dxfId="4">
      <formula>AND(F5&lt;&gt;"",F5=MIN(F5,D5,H5))</formula>
    </cfRule>
  </conditionalFormatting>
  <conditionalFormatting sqref="F6">
    <cfRule type="expression" priority="7" aboveAverage="0" equalAverage="0" bottom="0" percent="0" rank="0" text="" dxfId="4">
      <formula>AND(F6&lt;&gt;"",F6=MIN(F6,D6,H6))</formula>
    </cfRule>
  </conditionalFormatting>
  <conditionalFormatting sqref="H4">
    <cfRule type="expression" priority="8" aboveAverage="0" equalAverage="0" bottom="0" percent="0" rank="0" text="" dxfId="4">
      <formula>AND(H4&lt;&gt;"",H4=MIN(H4,D4,F4))</formula>
    </cfRule>
  </conditionalFormatting>
  <conditionalFormatting sqref="H5">
    <cfRule type="expression" priority="9" aboveAverage="0" equalAverage="0" bottom="0" percent="0" rank="0" text="" dxfId="4">
      <formula>AND(H5&lt;&gt;"",H5=MIN(H5,D5,F5))</formula>
    </cfRule>
  </conditionalFormatting>
  <conditionalFormatting sqref="H6">
    <cfRule type="expression" priority="10" aboveAverage="0" equalAverage="0" bottom="0" percent="0" rank="0" text="" dxfId="4">
      <formula>AND(H6&lt;&gt;"",H6=MIN(H6,D6,F6))</formula>
    </cfRule>
  </conditionalFormatting>
  <dataValidations count="2">
    <dataValidation allowBlank="true" errorStyle="stop" operator="between" showDropDown="false" showErrorMessage="false" showInputMessage="false" sqref="B4:B6" type="list">
      <formula1>"Alta,Media,Baja"</formula1>
      <formula2>0</formula2>
    </dataValidation>
    <dataValidation allowBlank="true" errorStyle="stop" operator="between" showDropDown="false" showErrorMessage="false" showInputMessage="false" sqref="M4:M6" type="list">
      <formula1>"Pendiente,Cotizado,Aprobado,Comprado,Cancelado"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10"/>
    <col collapsed="false" customWidth="true" hidden="false" outlineLevel="0" max="11" min="11" style="0" width="18"/>
    <col collapsed="false" customWidth="true" hidden="false" outlineLevel="0" max="12" min="12" style="0" width="15"/>
    <col collapsed="false" customWidth="true" hidden="false" outlineLevel="0" max="13" min="13" style="0" width="13"/>
    <col collapsed="false" customWidth="true" hidden="false" outlineLevel="0" max="14" min="14" style="0" width="26"/>
  </cols>
  <sheetData>
    <row r="1" customFormat="false" ht="19.7" hidden="false" customHeight="false" outlineLevel="0" collapsed="false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3.85" hidden="false" customHeight="false" outlineLevel="0" collapsed="false">
      <c r="A3" s="12" t="s">
        <v>26</v>
      </c>
      <c r="B3" s="12" t="s">
        <v>14</v>
      </c>
      <c r="C3" s="12" t="s">
        <v>27</v>
      </c>
      <c r="D3" s="12" t="s">
        <v>28</v>
      </c>
      <c r="E3" s="12" t="s">
        <v>29</v>
      </c>
      <c r="F3" s="12" t="s">
        <v>30</v>
      </c>
      <c r="G3" s="12" t="s">
        <v>31</v>
      </c>
      <c r="H3" s="12" t="s">
        <v>32</v>
      </c>
      <c r="I3" s="12" t="s">
        <v>33</v>
      </c>
      <c r="J3" s="12" t="s">
        <v>34</v>
      </c>
      <c r="K3" s="12" t="s">
        <v>35</v>
      </c>
      <c r="L3" s="12" t="s">
        <v>36</v>
      </c>
      <c r="M3" s="12" t="s">
        <v>19</v>
      </c>
      <c r="N3" s="12" t="s">
        <v>37</v>
      </c>
    </row>
    <row r="4" customFormat="false" ht="15" hidden="false" customHeight="false" outlineLevel="0" collapsed="false">
      <c r="A4" s="10" t="s">
        <v>43</v>
      </c>
      <c r="B4" s="13"/>
      <c r="C4" s="13"/>
      <c r="D4" s="14"/>
      <c r="E4" s="13"/>
      <c r="F4" s="14"/>
      <c r="G4" s="13"/>
      <c r="H4" s="14"/>
      <c r="I4" s="13"/>
      <c r="J4" s="13"/>
      <c r="K4" s="14"/>
      <c r="L4" s="11" t="str">
        <f aca="false">IF(OR(J4="",K4=""),"",J4*K4)</f>
        <v/>
      </c>
      <c r="M4" s="10"/>
      <c r="N4" s="10"/>
    </row>
    <row r="5" customFormat="false" ht="15" hidden="false" customHeight="false" outlineLevel="0" collapsed="false">
      <c r="A5" s="10"/>
      <c r="B5" s="13"/>
      <c r="C5" s="13"/>
      <c r="D5" s="14"/>
      <c r="E5" s="13"/>
      <c r="F5" s="14"/>
      <c r="G5" s="13"/>
      <c r="H5" s="14"/>
      <c r="I5" s="13"/>
      <c r="J5" s="13"/>
      <c r="K5" s="14"/>
      <c r="L5" s="11" t="str">
        <f aca="false">IF(OR(J5="",K5=""),"",J5*K5)</f>
        <v/>
      </c>
      <c r="M5" s="10"/>
      <c r="N5" s="10"/>
    </row>
    <row r="6" customFormat="false" ht="15" hidden="false" customHeight="false" outlineLevel="0" collapsed="false">
      <c r="A6" s="10"/>
      <c r="B6" s="13"/>
      <c r="C6" s="13"/>
      <c r="D6" s="14"/>
      <c r="E6" s="13"/>
      <c r="F6" s="14"/>
      <c r="G6" s="13"/>
      <c r="H6" s="14"/>
      <c r="I6" s="13"/>
      <c r="J6" s="13"/>
      <c r="K6" s="14"/>
      <c r="L6" s="11" t="str">
        <f aca="false">IF(OR(J6="",K6=""),"",J6*K6)</f>
        <v/>
      </c>
      <c r="M6" s="10"/>
      <c r="N6" s="10"/>
    </row>
  </sheetData>
  <mergeCells count="2">
    <mergeCell ref="A1:N1"/>
    <mergeCell ref="A2:N2"/>
  </mergeCells>
  <conditionalFormatting sqref="D4">
    <cfRule type="expression" priority="2" aboveAverage="0" equalAverage="0" bottom="0" percent="0" rank="0" text="" dxfId="4">
      <formula>AND(D4&lt;&gt;"",D4=MIN(D4,F4,H4))</formula>
    </cfRule>
  </conditionalFormatting>
  <conditionalFormatting sqref="D5">
    <cfRule type="expression" priority="3" aboveAverage="0" equalAverage="0" bottom="0" percent="0" rank="0" text="" dxfId="4">
      <formula>AND(D5&lt;&gt;"",D5=MIN(D5,F5,H5))</formula>
    </cfRule>
  </conditionalFormatting>
  <conditionalFormatting sqref="D6">
    <cfRule type="expression" priority="4" aboveAverage="0" equalAverage="0" bottom="0" percent="0" rank="0" text="" dxfId="4">
      <formula>AND(D6&lt;&gt;"",D6=MIN(D6,F6,H6))</formula>
    </cfRule>
  </conditionalFormatting>
  <conditionalFormatting sqref="F4">
    <cfRule type="expression" priority="5" aboveAverage="0" equalAverage="0" bottom="0" percent="0" rank="0" text="" dxfId="4">
      <formula>AND(F4&lt;&gt;"",F4=MIN(F4,D4,H4))</formula>
    </cfRule>
  </conditionalFormatting>
  <conditionalFormatting sqref="F5">
    <cfRule type="expression" priority="6" aboveAverage="0" equalAverage="0" bottom="0" percent="0" rank="0" text="" dxfId="4">
      <formula>AND(F5&lt;&gt;"",F5=MIN(F5,D5,H5))</formula>
    </cfRule>
  </conditionalFormatting>
  <conditionalFormatting sqref="F6">
    <cfRule type="expression" priority="7" aboveAverage="0" equalAverage="0" bottom="0" percent="0" rank="0" text="" dxfId="4">
      <formula>AND(F6&lt;&gt;"",F6=MIN(F6,D6,H6))</formula>
    </cfRule>
  </conditionalFormatting>
  <conditionalFormatting sqref="H4">
    <cfRule type="expression" priority="8" aboveAverage="0" equalAverage="0" bottom="0" percent="0" rank="0" text="" dxfId="4">
      <formula>AND(H4&lt;&gt;"",H4=MIN(H4,D4,F4))</formula>
    </cfRule>
  </conditionalFormatting>
  <conditionalFormatting sqref="H5">
    <cfRule type="expression" priority="9" aboveAverage="0" equalAverage="0" bottom="0" percent="0" rank="0" text="" dxfId="4">
      <formula>AND(H5&lt;&gt;"",H5=MIN(H5,D5,F5))</formula>
    </cfRule>
  </conditionalFormatting>
  <conditionalFormatting sqref="H6">
    <cfRule type="expression" priority="10" aboveAverage="0" equalAverage="0" bottom="0" percent="0" rank="0" text="" dxfId="4">
      <formula>AND(H6&lt;&gt;"",H6=MIN(H6,D6,F6))</formula>
    </cfRule>
  </conditionalFormatting>
  <dataValidations count="2">
    <dataValidation allowBlank="true" errorStyle="stop" operator="between" showDropDown="false" showErrorMessage="false" showInputMessage="false" sqref="B4:B6" type="list">
      <formula1>"Alta,Media,Baja"</formula1>
      <formula2>0</formula2>
    </dataValidation>
    <dataValidation allowBlank="true" errorStyle="stop" operator="between" showDropDown="false" showErrorMessage="false" showInputMessage="false" sqref="M4:M6" type="list">
      <formula1>"Pendiente,Cotizado,Aprobado,Comprado,Cancelado"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10"/>
    <col collapsed="false" customWidth="true" hidden="false" outlineLevel="0" max="11" min="11" style="0" width="18"/>
    <col collapsed="false" customWidth="true" hidden="false" outlineLevel="0" max="12" min="12" style="0" width="15"/>
    <col collapsed="false" customWidth="true" hidden="false" outlineLevel="0" max="13" min="13" style="0" width="13"/>
    <col collapsed="false" customWidth="true" hidden="false" outlineLevel="0" max="14" min="14" style="0" width="26"/>
  </cols>
  <sheetData>
    <row r="1" customFormat="false" ht="19.7" hidden="false" customHeight="false" outlineLevel="0" collapsed="false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3.85" hidden="false" customHeight="false" outlineLevel="0" collapsed="false">
      <c r="A3" s="12" t="s">
        <v>26</v>
      </c>
      <c r="B3" s="12" t="s">
        <v>14</v>
      </c>
      <c r="C3" s="12" t="s">
        <v>27</v>
      </c>
      <c r="D3" s="12" t="s">
        <v>28</v>
      </c>
      <c r="E3" s="12" t="s">
        <v>29</v>
      </c>
      <c r="F3" s="12" t="s">
        <v>30</v>
      </c>
      <c r="G3" s="12" t="s">
        <v>31</v>
      </c>
      <c r="H3" s="12" t="s">
        <v>32</v>
      </c>
      <c r="I3" s="12" t="s">
        <v>33</v>
      </c>
      <c r="J3" s="12" t="s">
        <v>34</v>
      </c>
      <c r="K3" s="12" t="s">
        <v>35</v>
      </c>
      <c r="L3" s="12" t="s">
        <v>36</v>
      </c>
      <c r="M3" s="12" t="s">
        <v>19</v>
      </c>
      <c r="N3" s="12" t="s">
        <v>37</v>
      </c>
    </row>
    <row r="4" customFormat="false" ht="15" hidden="false" customHeight="false" outlineLevel="0" collapsed="false">
      <c r="A4" s="10" t="s">
        <v>44</v>
      </c>
      <c r="B4" s="13"/>
      <c r="C4" s="13"/>
      <c r="D4" s="14"/>
      <c r="E4" s="13"/>
      <c r="F4" s="14"/>
      <c r="G4" s="13"/>
      <c r="H4" s="14"/>
      <c r="I4" s="13"/>
      <c r="J4" s="13"/>
      <c r="K4" s="14"/>
      <c r="L4" s="11" t="str">
        <f aca="false">IF(OR(J4="",K4=""),"",J4*K4)</f>
        <v/>
      </c>
      <c r="M4" s="10"/>
      <c r="N4" s="10"/>
    </row>
    <row r="5" customFormat="false" ht="15" hidden="false" customHeight="false" outlineLevel="0" collapsed="false">
      <c r="A5" s="10"/>
      <c r="B5" s="13"/>
      <c r="C5" s="13"/>
      <c r="D5" s="14"/>
      <c r="E5" s="13"/>
      <c r="F5" s="14"/>
      <c r="G5" s="13"/>
      <c r="H5" s="14"/>
      <c r="I5" s="13"/>
      <c r="J5" s="13"/>
      <c r="K5" s="14"/>
      <c r="L5" s="11" t="str">
        <f aca="false">IF(OR(J5="",K5=""),"",J5*K5)</f>
        <v/>
      </c>
      <c r="M5" s="10"/>
      <c r="N5" s="10"/>
    </row>
    <row r="6" customFormat="false" ht="15" hidden="false" customHeight="false" outlineLevel="0" collapsed="false">
      <c r="A6" s="10"/>
      <c r="B6" s="13"/>
      <c r="C6" s="13"/>
      <c r="D6" s="14"/>
      <c r="E6" s="13"/>
      <c r="F6" s="14"/>
      <c r="G6" s="13"/>
      <c r="H6" s="14"/>
      <c r="I6" s="13"/>
      <c r="J6" s="13"/>
      <c r="K6" s="14"/>
      <c r="L6" s="11" t="str">
        <f aca="false">IF(OR(J6="",K6=""),"",J6*K6)</f>
        <v/>
      </c>
      <c r="M6" s="10"/>
      <c r="N6" s="10"/>
    </row>
  </sheetData>
  <mergeCells count="2">
    <mergeCell ref="A1:N1"/>
    <mergeCell ref="A2:N2"/>
  </mergeCells>
  <conditionalFormatting sqref="D4">
    <cfRule type="expression" priority="2" aboveAverage="0" equalAverage="0" bottom="0" percent="0" rank="0" text="" dxfId="4">
      <formula>AND(D4&lt;&gt;"",D4=MIN(D4,F4,H4))</formula>
    </cfRule>
  </conditionalFormatting>
  <conditionalFormatting sqref="D5">
    <cfRule type="expression" priority="3" aboveAverage="0" equalAverage="0" bottom="0" percent="0" rank="0" text="" dxfId="4">
      <formula>AND(D5&lt;&gt;"",D5=MIN(D5,F5,H5))</formula>
    </cfRule>
  </conditionalFormatting>
  <conditionalFormatting sqref="D6">
    <cfRule type="expression" priority="4" aboveAverage="0" equalAverage="0" bottom="0" percent="0" rank="0" text="" dxfId="4">
      <formula>AND(D6&lt;&gt;"",D6=MIN(D6,F6,H6))</formula>
    </cfRule>
  </conditionalFormatting>
  <conditionalFormatting sqref="F4">
    <cfRule type="expression" priority="5" aboveAverage="0" equalAverage="0" bottom="0" percent="0" rank="0" text="" dxfId="4">
      <formula>AND(F4&lt;&gt;"",F4=MIN(F4,D4,H4))</formula>
    </cfRule>
  </conditionalFormatting>
  <conditionalFormatting sqref="F5">
    <cfRule type="expression" priority="6" aboveAverage="0" equalAverage="0" bottom="0" percent="0" rank="0" text="" dxfId="4">
      <formula>AND(F5&lt;&gt;"",F5=MIN(F5,D5,H5))</formula>
    </cfRule>
  </conditionalFormatting>
  <conditionalFormatting sqref="F6">
    <cfRule type="expression" priority="7" aboveAverage="0" equalAverage="0" bottom="0" percent="0" rank="0" text="" dxfId="4">
      <formula>AND(F6&lt;&gt;"",F6=MIN(F6,D6,H6))</formula>
    </cfRule>
  </conditionalFormatting>
  <conditionalFormatting sqref="H4">
    <cfRule type="expression" priority="8" aboveAverage="0" equalAverage="0" bottom="0" percent="0" rank="0" text="" dxfId="4">
      <formula>AND(H4&lt;&gt;"",H4=MIN(H4,D4,F4))</formula>
    </cfRule>
  </conditionalFormatting>
  <conditionalFormatting sqref="H5">
    <cfRule type="expression" priority="9" aboveAverage="0" equalAverage="0" bottom="0" percent="0" rank="0" text="" dxfId="4">
      <formula>AND(H5&lt;&gt;"",H5=MIN(H5,D5,F5))</formula>
    </cfRule>
  </conditionalFormatting>
  <conditionalFormatting sqref="H6">
    <cfRule type="expression" priority="10" aboveAverage="0" equalAverage="0" bottom="0" percent="0" rank="0" text="" dxfId="4">
      <formula>AND(H6&lt;&gt;"",H6=MIN(H6,D6,F6))</formula>
    </cfRule>
  </conditionalFormatting>
  <dataValidations count="2">
    <dataValidation allowBlank="true" errorStyle="stop" operator="between" showDropDown="false" showErrorMessage="false" showInputMessage="false" sqref="B4:B6" type="list">
      <formula1>"Alta,Media,Baja"</formula1>
      <formula2>0</formula2>
    </dataValidation>
    <dataValidation allowBlank="true" errorStyle="stop" operator="between" showDropDown="false" showErrorMessage="false" showInputMessage="false" sqref="M4:M6" type="list">
      <formula1>"Pendiente,Cotizado,Aprobado,Comprado,Cancelado"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10"/>
    <col collapsed="false" customWidth="true" hidden="false" outlineLevel="0" max="11" min="11" style="0" width="18"/>
    <col collapsed="false" customWidth="true" hidden="false" outlineLevel="0" max="12" min="12" style="0" width="15"/>
    <col collapsed="false" customWidth="true" hidden="false" outlineLevel="0" max="13" min="13" style="0" width="13"/>
    <col collapsed="false" customWidth="true" hidden="false" outlineLevel="0" max="14" min="14" style="0" width="26"/>
  </cols>
  <sheetData>
    <row r="1" customFormat="false" ht="19.7" hidden="false" customHeight="false" outlineLevel="0" collapsed="false">
      <c r="A1" s="1" t="s">
        <v>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3.85" hidden="false" customHeight="false" outlineLevel="0" collapsed="false">
      <c r="A3" s="12" t="s">
        <v>26</v>
      </c>
      <c r="B3" s="12" t="s">
        <v>14</v>
      </c>
      <c r="C3" s="12" t="s">
        <v>27</v>
      </c>
      <c r="D3" s="12" t="s">
        <v>28</v>
      </c>
      <c r="E3" s="12" t="s">
        <v>29</v>
      </c>
      <c r="F3" s="12" t="s">
        <v>30</v>
      </c>
      <c r="G3" s="12" t="s">
        <v>31</v>
      </c>
      <c r="H3" s="12" t="s">
        <v>32</v>
      </c>
      <c r="I3" s="12" t="s">
        <v>33</v>
      </c>
      <c r="J3" s="12" t="s">
        <v>34</v>
      </c>
      <c r="K3" s="12" t="s">
        <v>35</v>
      </c>
      <c r="L3" s="12" t="s">
        <v>36</v>
      </c>
      <c r="M3" s="12" t="s">
        <v>19</v>
      </c>
      <c r="N3" s="12" t="s">
        <v>37</v>
      </c>
    </row>
    <row r="4" customFormat="false" ht="15" hidden="false" customHeight="false" outlineLevel="0" collapsed="false">
      <c r="A4" s="10" t="s">
        <v>45</v>
      </c>
      <c r="B4" s="13"/>
      <c r="C4" s="13"/>
      <c r="D4" s="14"/>
      <c r="E4" s="13"/>
      <c r="F4" s="14"/>
      <c r="G4" s="13"/>
      <c r="H4" s="14"/>
      <c r="I4" s="13"/>
      <c r="J4" s="13"/>
      <c r="K4" s="14"/>
      <c r="L4" s="11" t="str">
        <f aca="false">IF(OR(J4="",K4=""),"",J4*K4)</f>
        <v/>
      </c>
      <c r="M4" s="10"/>
      <c r="N4" s="10"/>
    </row>
    <row r="5" customFormat="false" ht="15" hidden="false" customHeight="false" outlineLevel="0" collapsed="false">
      <c r="A5" s="10"/>
      <c r="B5" s="13"/>
      <c r="C5" s="13"/>
      <c r="D5" s="14"/>
      <c r="E5" s="13"/>
      <c r="F5" s="14"/>
      <c r="G5" s="13"/>
      <c r="H5" s="14"/>
      <c r="I5" s="13"/>
      <c r="J5" s="13"/>
      <c r="K5" s="14"/>
      <c r="L5" s="11" t="str">
        <f aca="false">IF(OR(J5="",K5=""),"",J5*K5)</f>
        <v/>
      </c>
      <c r="M5" s="10"/>
      <c r="N5" s="10"/>
    </row>
    <row r="6" customFormat="false" ht="15" hidden="false" customHeight="false" outlineLevel="0" collapsed="false">
      <c r="A6" s="10"/>
      <c r="B6" s="13"/>
      <c r="C6" s="13"/>
      <c r="D6" s="14"/>
      <c r="E6" s="13"/>
      <c r="F6" s="14"/>
      <c r="G6" s="13"/>
      <c r="H6" s="14"/>
      <c r="I6" s="13"/>
      <c r="J6" s="13"/>
      <c r="K6" s="14"/>
      <c r="L6" s="11" t="str">
        <f aca="false">IF(OR(J6="",K6=""),"",J6*K6)</f>
        <v/>
      </c>
      <c r="M6" s="10"/>
      <c r="N6" s="10"/>
    </row>
  </sheetData>
  <mergeCells count="2">
    <mergeCell ref="A1:N1"/>
    <mergeCell ref="A2:N2"/>
  </mergeCells>
  <conditionalFormatting sqref="D4">
    <cfRule type="expression" priority="2" aboveAverage="0" equalAverage="0" bottom="0" percent="0" rank="0" text="" dxfId="4">
      <formula>AND(D4&lt;&gt;"",D4=MIN(D4,F4,H4))</formula>
    </cfRule>
  </conditionalFormatting>
  <conditionalFormatting sqref="D5">
    <cfRule type="expression" priority="3" aboveAverage="0" equalAverage="0" bottom="0" percent="0" rank="0" text="" dxfId="4">
      <formula>AND(D5&lt;&gt;"",D5=MIN(D5,F5,H5))</formula>
    </cfRule>
  </conditionalFormatting>
  <conditionalFormatting sqref="D6">
    <cfRule type="expression" priority="4" aboveAverage="0" equalAverage="0" bottom="0" percent="0" rank="0" text="" dxfId="4">
      <formula>AND(D6&lt;&gt;"",D6=MIN(D6,F6,H6))</formula>
    </cfRule>
  </conditionalFormatting>
  <conditionalFormatting sqref="F4">
    <cfRule type="expression" priority="5" aboveAverage="0" equalAverage="0" bottom="0" percent="0" rank="0" text="" dxfId="4">
      <formula>AND(F4&lt;&gt;"",F4=MIN(F4,D4,H4))</formula>
    </cfRule>
  </conditionalFormatting>
  <conditionalFormatting sqref="F5">
    <cfRule type="expression" priority="6" aboveAverage="0" equalAverage="0" bottom="0" percent="0" rank="0" text="" dxfId="4">
      <formula>AND(F5&lt;&gt;"",F5=MIN(F5,D5,H5))</formula>
    </cfRule>
  </conditionalFormatting>
  <conditionalFormatting sqref="F6">
    <cfRule type="expression" priority="7" aboveAverage="0" equalAverage="0" bottom="0" percent="0" rank="0" text="" dxfId="4">
      <formula>AND(F6&lt;&gt;"",F6=MIN(F6,D6,H6))</formula>
    </cfRule>
  </conditionalFormatting>
  <conditionalFormatting sqref="H4">
    <cfRule type="expression" priority="8" aboveAverage="0" equalAverage="0" bottom="0" percent="0" rank="0" text="" dxfId="4">
      <formula>AND(H4&lt;&gt;"",H4=MIN(H4,D4,F4))</formula>
    </cfRule>
  </conditionalFormatting>
  <conditionalFormatting sqref="H5">
    <cfRule type="expression" priority="9" aboveAverage="0" equalAverage="0" bottom="0" percent="0" rank="0" text="" dxfId="4">
      <formula>AND(H5&lt;&gt;"",H5=MIN(H5,D5,F5))</formula>
    </cfRule>
  </conditionalFormatting>
  <conditionalFormatting sqref="H6">
    <cfRule type="expression" priority="10" aboveAverage="0" equalAverage="0" bottom="0" percent="0" rank="0" text="" dxfId="4">
      <formula>AND(H6&lt;&gt;"",H6=MIN(H6,D6,F6))</formula>
    </cfRule>
  </conditionalFormatting>
  <dataValidations count="2">
    <dataValidation allowBlank="true" errorStyle="stop" operator="between" showDropDown="false" showErrorMessage="false" showInputMessage="false" sqref="B4:B6" type="list">
      <formula1>"Alta,Media,Baja"</formula1>
      <formula2>0</formula2>
    </dataValidation>
    <dataValidation allowBlank="true" errorStyle="stop" operator="between" showDropDown="false" showErrorMessage="false" showInputMessage="false" sqref="M4:M6" type="list">
      <formula1>"Pendiente,Cotizado,Aprobado,Comprado,Cancelado"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9" min="9" style="0" width="18"/>
    <col collapsed="false" customWidth="true" hidden="false" outlineLevel="0" max="10" min="10" style="0" width="10"/>
    <col collapsed="false" customWidth="true" hidden="false" outlineLevel="0" max="11" min="11" style="0" width="18"/>
    <col collapsed="false" customWidth="true" hidden="false" outlineLevel="0" max="12" min="12" style="0" width="15"/>
    <col collapsed="false" customWidth="true" hidden="false" outlineLevel="0" max="13" min="13" style="0" width="13"/>
    <col collapsed="false" customWidth="true" hidden="false" outlineLevel="0" max="14" min="14" style="0" width="26"/>
  </cols>
  <sheetData>
    <row r="1" customFormat="false" ht="19.7" hidden="false" customHeight="false" outlineLevel="0" collapsed="false">
      <c r="A1" s="1" t="s">
        <v>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23.85" hidden="false" customHeight="false" outlineLevel="0" collapsed="false">
      <c r="A3" s="12" t="s">
        <v>26</v>
      </c>
      <c r="B3" s="12" t="s">
        <v>14</v>
      </c>
      <c r="C3" s="12" t="s">
        <v>27</v>
      </c>
      <c r="D3" s="12" t="s">
        <v>28</v>
      </c>
      <c r="E3" s="12" t="s">
        <v>29</v>
      </c>
      <c r="F3" s="12" t="s">
        <v>30</v>
      </c>
      <c r="G3" s="12" t="s">
        <v>31</v>
      </c>
      <c r="H3" s="12" t="s">
        <v>32</v>
      </c>
      <c r="I3" s="12" t="s">
        <v>33</v>
      </c>
      <c r="J3" s="12" t="s">
        <v>34</v>
      </c>
      <c r="K3" s="12" t="s">
        <v>35</v>
      </c>
      <c r="L3" s="12" t="s">
        <v>36</v>
      </c>
      <c r="M3" s="12" t="s">
        <v>19</v>
      </c>
      <c r="N3" s="12" t="s">
        <v>37</v>
      </c>
    </row>
    <row r="4" customFormat="false" ht="15" hidden="false" customHeight="false" outlineLevel="0" collapsed="false">
      <c r="A4" s="10" t="s">
        <v>46</v>
      </c>
      <c r="B4" s="13"/>
      <c r="C4" s="13"/>
      <c r="D4" s="14"/>
      <c r="E4" s="13"/>
      <c r="F4" s="14"/>
      <c r="G4" s="13"/>
      <c r="H4" s="14"/>
      <c r="I4" s="13"/>
      <c r="J4" s="13"/>
      <c r="K4" s="14"/>
      <c r="L4" s="11" t="str">
        <f aca="false">IF(OR(J4="",K4=""),"",J4*K4)</f>
        <v/>
      </c>
      <c r="M4" s="10"/>
      <c r="N4" s="10"/>
    </row>
    <row r="5" customFormat="false" ht="15" hidden="false" customHeight="false" outlineLevel="0" collapsed="false">
      <c r="A5" s="10"/>
      <c r="B5" s="13"/>
      <c r="C5" s="13"/>
      <c r="D5" s="14"/>
      <c r="E5" s="13"/>
      <c r="F5" s="14"/>
      <c r="G5" s="13"/>
      <c r="H5" s="14"/>
      <c r="I5" s="13"/>
      <c r="J5" s="13"/>
      <c r="K5" s="14"/>
      <c r="L5" s="11" t="str">
        <f aca="false">IF(OR(J5="",K5=""),"",J5*K5)</f>
        <v/>
      </c>
      <c r="M5" s="10"/>
      <c r="N5" s="10"/>
    </row>
    <row r="6" customFormat="false" ht="15" hidden="false" customHeight="false" outlineLevel="0" collapsed="false">
      <c r="A6" s="10"/>
      <c r="B6" s="13"/>
      <c r="C6" s="13"/>
      <c r="D6" s="14"/>
      <c r="E6" s="13"/>
      <c r="F6" s="14"/>
      <c r="G6" s="13"/>
      <c r="H6" s="14"/>
      <c r="I6" s="13"/>
      <c r="J6" s="13"/>
      <c r="K6" s="14"/>
      <c r="L6" s="11" t="str">
        <f aca="false">IF(OR(J6="",K6=""),"",J6*K6)</f>
        <v/>
      </c>
      <c r="M6" s="10"/>
      <c r="N6" s="10"/>
    </row>
  </sheetData>
  <mergeCells count="2">
    <mergeCell ref="A1:N1"/>
    <mergeCell ref="A2:N2"/>
  </mergeCells>
  <conditionalFormatting sqref="D4">
    <cfRule type="expression" priority="2" aboveAverage="0" equalAverage="0" bottom="0" percent="0" rank="0" text="" dxfId="4">
      <formula>AND(D4&lt;&gt;"",D4=MIN(D4,F4,H4))</formula>
    </cfRule>
  </conditionalFormatting>
  <conditionalFormatting sqref="D5">
    <cfRule type="expression" priority="3" aboveAverage="0" equalAverage="0" bottom="0" percent="0" rank="0" text="" dxfId="4">
      <formula>AND(D5&lt;&gt;"",D5=MIN(D5,F5,H5))</formula>
    </cfRule>
  </conditionalFormatting>
  <conditionalFormatting sqref="D6">
    <cfRule type="expression" priority="4" aboveAverage="0" equalAverage="0" bottom="0" percent="0" rank="0" text="" dxfId="4">
      <formula>AND(D6&lt;&gt;"",D6=MIN(D6,F6,H6))</formula>
    </cfRule>
  </conditionalFormatting>
  <conditionalFormatting sqref="F4">
    <cfRule type="expression" priority="5" aboveAverage="0" equalAverage="0" bottom="0" percent="0" rank="0" text="" dxfId="4">
      <formula>AND(F4&lt;&gt;"",F4=MIN(F4,D4,H4))</formula>
    </cfRule>
  </conditionalFormatting>
  <conditionalFormatting sqref="F5">
    <cfRule type="expression" priority="6" aboveAverage="0" equalAverage="0" bottom="0" percent="0" rank="0" text="" dxfId="4">
      <formula>AND(F5&lt;&gt;"",F5=MIN(F5,D5,H5))</formula>
    </cfRule>
  </conditionalFormatting>
  <conditionalFormatting sqref="F6">
    <cfRule type="expression" priority="7" aboveAverage="0" equalAverage="0" bottom="0" percent="0" rank="0" text="" dxfId="4">
      <formula>AND(F6&lt;&gt;"",F6=MIN(F6,D6,H6))</formula>
    </cfRule>
  </conditionalFormatting>
  <conditionalFormatting sqref="H4">
    <cfRule type="expression" priority="8" aboveAverage="0" equalAverage="0" bottom="0" percent="0" rank="0" text="" dxfId="4">
      <formula>AND(H4&lt;&gt;"",H4=MIN(H4,D4,F4))</formula>
    </cfRule>
  </conditionalFormatting>
  <conditionalFormatting sqref="H5">
    <cfRule type="expression" priority="9" aboveAverage="0" equalAverage="0" bottom="0" percent="0" rank="0" text="" dxfId="4">
      <formula>AND(H5&lt;&gt;"",H5=MIN(H5,D5,F5))</formula>
    </cfRule>
  </conditionalFormatting>
  <conditionalFormatting sqref="H6">
    <cfRule type="expression" priority="10" aboveAverage="0" equalAverage="0" bottom="0" percent="0" rank="0" text="" dxfId="4">
      <formula>AND(H6&lt;&gt;"",H6=MIN(H6,D6,F6))</formula>
    </cfRule>
  </conditionalFormatting>
  <dataValidations count="2">
    <dataValidation allowBlank="true" errorStyle="stop" operator="between" showDropDown="false" showErrorMessage="false" showInputMessage="false" sqref="B4:B6" type="list">
      <formula1>"Alta,Media,Baja"</formula1>
      <formula2>0</formula2>
    </dataValidation>
    <dataValidation allowBlank="true" errorStyle="stop" operator="between" showDropDown="false" showErrorMessage="false" showInputMessage="false" sqref="M4:M6" type="list">
      <formula1>"Pendiente,Cotizado,Aprobado,Comprado,Cancelado"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9.7" hidden="false" customHeight="false" outlineLevel="0" collapsed="false">
      <c r="A1" s="15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2026-07-06T15:41:20Z</dcterms:created>
  <dc:creator>openpyxl</dc:creator>
  <dc:description/>
  <dc:language>en-US</dc:language>
  <cp:lastModifiedBy/>
  <dcterms:modified xsi:type="dcterms:W3CDTF">2026-07-06T12:41:21Z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